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Materiais\Cursos e Minicursos\Excel com IA\"/>
    </mc:Choice>
  </mc:AlternateContent>
  <xr:revisionPtr revIDLastSave="0" documentId="8_{D661226E-9A9B-4165-BF5B-07E15AC1B2D1}" xr6:coauthVersionLast="47" xr6:coauthVersionMax="47" xr10:uidLastSave="{00000000-0000-0000-0000-000000000000}"/>
  <bookViews>
    <workbookView xWindow="11424" yWindow="0" windowWidth="11712" windowHeight="12336" firstSheet="1" activeTab="1" xr2:uid="{25E51C81-B49A-4DBB-B79D-DDAD4B92B8AC}"/>
  </bookViews>
  <sheets>
    <sheet name="Perguntas" sheetId="1" r:id="rId1"/>
    <sheet name="INVESTIMENTO" sheetId="2" r:id="rId2"/>
    <sheet name="apoio" sheetId="3" r:id="rId3"/>
  </sheets>
  <definedNames>
    <definedName name="Patrimonio">INVESTIMENTO!$D$14</definedName>
    <definedName name="Rendimento_Carteira">INVESTIMENTO!$D$7</definedName>
    <definedName name="Salario">INVESTIMENTO!$D$6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2" l="1"/>
  <c r="C31" i="2"/>
  <c r="C32" i="2"/>
  <c r="D32" i="2" s="1"/>
  <c r="C33" i="2"/>
  <c r="D33" i="2" s="1"/>
  <c r="C34" i="2"/>
  <c r="D34" i="2" s="1"/>
  <c r="C35" i="2"/>
  <c r="D35" i="2" s="1"/>
  <c r="C30" i="2"/>
  <c r="D30" i="2" s="1"/>
  <c r="H5" i="3"/>
  <c r="A8" i="3"/>
  <c r="A9" i="3"/>
  <c r="A10" i="3"/>
  <c r="A11" i="3"/>
  <c r="A12" i="3"/>
  <c r="A13" i="3"/>
  <c r="A14" i="3"/>
  <c r="A15" i="3"/>
  <c r="A16" i="3"/>
  <c r="A17" i="3"/>
  <c r="A18" i="3"/>
  <c r="A19" i="3"/>
  <c r="A3" i="3"/>
  <c r="A4" i="3"/>
  <c r="A5" i="3"/>
  <c r="A6" i="3"/>
  <c r="A7" i="3"/>
  <c r="A2" i="3"/>
  <c r="D8" i="2"/>
  <c r="C20" i="2"/>
  <c r="D20" i="2" s="1"/>
  <c r="C21" i="2"/>
  <c r="D21" i="2" s="1"/>
  <c r="C22" i="2"/>
  <c r="D22" i="2" s="1"/>
  <c r="C23" i="2"/>
  <c r="D23" i="2" s="1"/>
  <c r="C19" i="2"/>
  <c r="D19" i="2" s="1"/>
  <c r="D14" i="2"/>
  <c r="D15" i="2" s="1"/>
  <c r="D31" i="2" l="1"/>
  <c r="D36" i="2"/>
</calcChain>
</file>

<file path=xl/sharedStrings.xml><?xml version="1.0" encoding="utf-8"?>
<sst xmlns="http://schemas.openxmlformats.org/spreadsheetml/2006/main" count="82" uniqueCount="36">
  <si>
    <t>Por quanto tempo?</t>
  </si>
  <si>
    <t>Taxa de rendimento mensal?</t>
  </si>
  <si>
    <t>Quanto investir por mês?</t>
  </si>
  <si>
    <t>Dividendos mensais?</t>
  </si>
  <si>
    <t>Patrimônio acumulado?</t>
  </si>
  <si>
    <t>SCARPA INVEST</t>
  </si>
  <si>
    <t>INVESTIMENTOS MENSAIS</t>
  </si>
  <si>
    <t>Quanto em 2 anos?</t>
  </si>
  <si>
    <t>Quanto em 5 anos?</t>
  </si>
  <si>
    <t>Quanto em 20 anos?</t>
  </si>
  <si>
    <t>Quanto em 10 anos?</t>
  </si>
  <si>
    <t>Quanto em 30 anos?</t>
  </si>
  <si>
    <t>CENÁRIOS</t>
  </si>
  <si>
    <t>Salário</t>
  </si>
  <si>
    <t>Rendimento da carteira</t>
  </si>
  <si>
    <t>Sugestão de investimento</t>
  </si>
  <si>
    <t>CONFIGURAÇÕES</t>
  </si>
  <si>
    <t>DIVIDENDOS</t>
  </si>
  <si>
    <t>Perfil</t>
  </si>
  <si>
    <t>TIPO DE FII</t>
  </si>
  <si>
    <t>Valores</t>
  </si>
  <si>
    <t>PAPEL</t>
  </si>
  <si>
    <t>TIJOLO</t>
  </si>
  <si>
    <t>HÍBRIDOS</t>
  </si>
  <si>
    <t>FOFs</t>
  </si>
  <si>
    <t>DESENVOLVIMENTO</t>
  </si>
  <si>
    <t>HOTELARIAS</t>
  </si>
  <si>
    <t xml:space="preserve">Percentual </t>
  </si>
  <si>
    <t>PERFIL</t>
  </si>
  <si>
    <t>CONSERVADOR</t>
  </si>
  <si>
    <t>%</t>
  </si>
  <si>
    <t>CHVE</t>
  </si>
  <si>
    <t>MODERADO</t>
  </si>
  <si>
    <t>AGRESSIVO</t>
  </si>
  <si>
    <t>CONSERVADOR-PAPEL</t>
  </si>
  <si>
    <t>Valor a ser investido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</si>
</sst>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7" formatCode=";;;"/>
    <numFmt numFmtId="170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0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0" borderId="1" xfId="0" applyBorder="1"/>
    <xf numFmtId="0" fontId="3" fillId="0" borderId="11" xfId="0" applyFont="1" applyBorder="1"/>
    <xf numFmtId="0" fontId="0" fillId="0" borderId="12" xfId="0" applyBorder="1"/>
    <xf numFmtId="0" fontId="3" fillId="3" borderId="11" xfId="0" applyFont="1" applyFill="1" applyBorder="1"/>
    <xf numFmtId="0" fontId="0" fillId="3" borderId="12" xfId="0" applyFill="1" applyBorder="1"/>
    <xf numFmtId="0" fontId="3" fillId="3" borderId="13" xfId="0" applyFont="1" applyFill="1" applyBorder="1"/>
    <xf numFmtId="0" fontId="0" fillId="3" borderId="14" xfId="0" applyFill="1" applyBorder="1"/>
    <xf numFmtId="0" fontId="3" fillId="0" borderId="15" xfId="0" applyFont="1" applyBorder="1"/>
    <xf numFmtId="0" fontId="0" fillId="0" borderId="16" xfId="0" applyBorder="1"/>
    <xf numFmtId="0" fontId="2" fillId="2" borderId="4" xfId="0" applyFont="1" applyFill="1" applyBorder="1" applyAlignment="1">
      <alignment horizontal="center" vertical="center"/>
    </xf>
    <xf numFmtId="167" fontId="0" fillId="0" borderId="0" xfId="0" applyNumberFormat="1"/>
    <xf numFmtId="0" fontId="2" fillId="2" borderId="1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170" fontId="5" fillId="0" borderId="16" xfId="1" applyNumberFormat="1" applyFont="1" applyBorder="1" applyAlignment="1">
      <alignment horizontal="center"/>
    </xf>
    <xf numFmtId="10" fontId="5" fillId="0" borderId="16" xfId="1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8" fontId="5" fillId="3" borderId="12" xfId="0" applyNumberFormat="1" applyFont="1" applyFill="1" applyBorder="1" applyAlignment="1">
      <alignment horizontal="center"/>
    </xf>
    <xf numFmtId="8" fontId="5" fillId="3" borderId="14" xfId="0" applyNumberFormat="1" applyFont="1" applyFill="1" applyBorder="1" applyAlignment="1">
      <alignment horizontal="center"/>
    </xf>
    <xf numFmtId="170" fontId="5" fillId="3" borderId="16" xfId="1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5" fillId="5" borderId="23" xfId="0" applyFont="1" applyFill="1" applyBorder="1" applyAlignment="1">
      <alignment horizontal="left" indent="1"/>
    </xf>
    <xf numFmtId="0" fontId="5" fillId="5" borderId="24" xfId="0" applyFont="1" applyFill="1" applyBorder="1" applyAlignment="1">
      <alignment horizontal="left" indent="1"/>
    </xf>
    <xf numFmtId="0" fontId="5" fillId="3" borderId="23" xfId="0" applyFont="1" applyFill="1" applyBorder="1" applyAlignment="1">
      <alignment horizontal="left" indent="1"/>
    </xf>
    <xf numFmtId="0" fontId="5" fillId="3" borderId="24" xfId="0" applyFont="1" applyFill="1" applyBorder="1" applyAlignment="1">
      <alignment horizontal="left" indent="1"/>
    </xf>
    <xf numFmtId="0" fontId="5" fillId="5" borderId="21" xfId="0" applyFont="1" applyFill="1" applyBorder="1" applyAlignment="1">
      <alignment horizontal="left" indent="1"/>
    </xf>
    <xf numFmtId="0" fontId="5" fillId="5" borderId="22" xfId="0" applyFont="1" applyFill="1" applyBorder="1" applyAlignment="1">
      <alignment horizontal="left" indent="1"/>
    </xf>
    <xf numFmtId="0" fontId="5" fillId="5" borderId="7" xfId="0" applyFont="1" applyFill="1" applyBorder="1" applyAlignment="1">
      <alignment horizontal="left" indent="1"/>
    </xf>
    <xf numFmtId="0" fontId="5" fillId="5" borderId="25" xfId="0" applyFont="1" applyFill="1" applyBorder="1" applyAlignment="1">
      <alignment horizontal="left" indent="1"/>
    </xf>
    <xf numFmtId="0" fontId="5" fillId="5" borderId="15" xfId="0" applyFont="1" applyFill="1" applyBorder="1" applyAlignment="1">
      <alignment horizontal="left" indent="1"/>
    </xf>
    <xf numFmtId="170" fontId="5" fillId="5" borderId="19" xfId="1" applyNumberFormat="1" applyFont="1" applyFill="1" applyBorder="1" applyAlignment="1">
      <alignment horizontal="center"/>
    </xf>
    <xf numFmtId="0" fontId="0" fillId="3" borderId="0" xfId="0" applyFill="1"/>
    <xf numFmtId="170" fontId="5" fillId="3" borderId="26" xfId="1" applyNumberFormat="1" applyFont="1" applyFill="1" applyBorder="1" applyAlignment="1">
      <alignment horizontal="center"/>
    </xf>
    <xf numFmtId="170" fontId="5" fillId="3" borderId="27" xfId="1" applyNumberFormat="1" applyFont="1" applyFill="1" applyBorder="1" applyAlignment="1">
      <alignment horizontal="center"/>
    </xf>
    <xf numFmtId="9" fontId="0" fillId="0" borderId="0" xfId="2" applyFont="1"/>
    <xf numFmtId="0" fontId="7" fillId="2" borderId="10" xfId="0" applyFont="1" applyFill="1" applyBorder="1" applyAlignment="1">
      <alignment horizontal="center"/>
    </xf>
    <xf numFmtId="170" fontId="5" fillId="3" borderId="0" xfId="1" applyNumberFormat="1" applyFont="1" applyFill="1" applyBorder="1" applyAlignment="1">
      <alignment horizontal="center"/>
    </xf>
    <xf numFmtId="0" fontId="0" fillId="0" borderId="28" xfId="0" applyBorder="1"/>
    <xf numFmtId="9" fontId="0" fillId="0" borderId="28" xfId="2" applyFont="1" applyBorder="1"/>
    <xf numFmtId="9" fontId="0" fillId="0" borderId="0" xfId="0" applyNumberFormat="1"/>
    <xf numFmtId="9" fontId="0" fillId="0" borderId="28" xfId="0" applyNumberFormat="1" applyBorder="1"/>
    <xf numFmtId="0" fontId="7" fillId="2" borderId="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9" fontId="0" fillId="0" borderId="1" xfId="2" applyFon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0" fontId="5" fillId="0" borderId="12" xfId="0" applyNumberFormat="1" applyFont="1" applyBorder="1" applyAlignment="1">
      <alignment horizontal="center"/>
    </xf>
    <xf numFmtId="0" fontId="0" fillId="0" borderId="29" xfId="0" applyBorder="1"/>
    <xf numFmtId="9" fontId="0" fillId="0" borderId="29" xfId="2" applyFont="1" applyBorder="1" applyAlignment="1">
      <alignment horizontal="center"/>
    </xf>
    <xf numFmtId="170" fontId="0" fillId="0" borderId="29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7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F669-CD83-413E-B3B2-15F75ABCF04F}">
  <dimension ref="A1:B6"/>
  <sheetViews>
    <sheetView workbookViewId="0">
      <selection sqref="A1:B6"/>
    </sheetView>
  </sheetViews>
  <sheetFormatPr defaultRowHeight="14.4" x14ac:dyDescent="0.3"/>
  <cols>
    <col min="1" max="1" width="34.77734375" customWidth="1"/>
  </cols>
  <sheetData>
    <row r="1" spans="1:2" ht="15" thickBot="1" x14ac:dyDescent="0.35">
      <c r="A1" s="1" t="s">
        <v>6</v>
      </c>
      <c r="B1" s="2"/>
    </row>
    <row r="2" spans="1:2" x14ac:dyDescent="0.3">
      <c r="A2" s="10" t="s">
        <v>2</v>
      </c>
      <c r="B2" s="11"/>
    </row>
    <row r="3" spans="1:2" x14ac:dyDescent="0.3">
      <c r="A3" s="4" t="s">
        <v>0</v>
      </c>
      <c r="B3" s="5"/>
    </row>
    <row r="4" spans="1:2" x14ac:dyDescent="0.3">
      <c r="A4" s="4" t="s">
        <v>1</v>
      </c>
      <c r="B4" s="5"/>
    </row>
    <row r="5" spans="1:2" x14ac:dyDescent="0.3">
      <c r="A5" s="6" t="s">
        <v>4</v>
      </c>
      <c r="B5" s="7"/>
    </row>
    <row r="6" spans="1:2" ht="15" thickBot="1" x14ac:dyDescent="0.35">
      <c r="A6" s="8" t="s">
        <v>3</v>
      </c>
      <c r="B6" s="9"/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AFD3-0140-498F-B957-28AF978F5C89}">
  <dimension ref="A1:E36"/>
  <sheetViews>
    <sheetView showGridLines="0" tabSelected="1" topLeftCell="B25" workbookViewId="0">
      <selection activeCell="B38" sqref="B38"/>
    </sheetView>
  </sheetViews>
  <sheetFormatPr defaultRowHeight="14.4" x14ac:dyDescent="0.3"/>
  <cols>
    <col min="1" max="1" width="0" hidden="1" customWidth="1"/>
    <col min="2" max="2" width="24.109375" bestFit="1" customWidth="1"/>
    <col min="3" max="3" width="17.6640625" bestFit="1" customWidth="1"/>
    <col min="4" max="4" width="18.33203125" bestFit="1" customWidth="1"/>
    <col min="5" max="5" width="15.33203125" customWidth="1"/>
    <col min="6" max="6" width="2.88671875" style="47" customWidth="1"/>
    <col min="7" max="16384" width="8.88671875" style="47"/>
  </cols>
  <sheetData>
    <row r="1" spans="2:4" ht="14.4" customHeight="1" x14ac:dyDescent="0.3">
      <c r="B1" s="12" t="s">
        <v>5</v>
      </c>
      <c r="C1" s="14"/>
      <c r="D1" s="14"/>
    </row>
    <row r="2" spans="2:4" ht="14.4" customHeight="1" x14ac:dyDescent="0.3">
      <c r="B2" s="15"/>
      <c r="C2" s="16"/>
      <c r="D2" s="16"/>
    </row>
    <row r="3" spans="2:4" ht="15" customHeight="1" thickBot="1" x14ac:dyDescent="0.35">
      <c r="B3" s="17"/>
      <c r="C3" s="18"/>
      <c r="D3" s="18"/>
    </row>
    <row r="4" spans="2:4" ht="15" thickBot="1" x14ac:dyDescent="0.35"/>
    <row r="5" spans="2:4" ht="17.399999999999999" x14ac:dyDescent="0.3">
      <c r="B5" s="25" t="s">
        <v>16</v>
      </c>
      <c r="C5" s="35"/>
      <c r="D5" s="26"/>
    </row>
    <row r="6" spans="2:4" ht="15.6" x14ac:dyDescent="0.3">
      <c r="B6" s="41" t="s">
        <v>13</v>
      </c>
      <c r="C6" s="42"/>
      <c r="D6" s="19">
        <v>2000</v>
      </c>
    </row>
    <row r="7" spans="2:4" ht="15.6" x14ac:dyDescent="0.3">
      <c r="B7" s="41" t="s">
        <v>14</v>
      </c>
      <c r="C7" s="42"/>
      <c r="D7" s="20">
        <v>6.0000000000000001E-3</v>
      </c>
    </row>
    <row r="8" spans="2:4" ht="16.2" thickBot="1" x14ac:dyDescent="0.35">
      <c r="B8" s="43" t="s">
        <v>15</v>
      </c>
      <c r="C8" s="44"/>
      <c r="D8" s="46">
        <f>D6*30%</f>
        <v>600</v>
      </c>
    </row>
    <row r="9" spans="2:4" ht="15" thickBot="1" x14ac:dyDescent="0.35"/>
    <row r="10" spans="2:4" ht="18" thickBot="1" x14ac:dyDescent="0.35">
      <c r="B10" s="27" t="s">
        <v>6</v>
      </c>
      <c r="C10" s="36"/>
      <c r="D10" s="28"/>
    </row>
    <row r="11" spans="2:4" ht="16.2" thickBot="1" x14ac:dyDescent="0.35">
      <c r="B11" s="37" t="s">
        <v>2</v>
      </c>
      <c r="C11" s="38"/>
      <c r="D11" s="19">
        <v>200</v>
      </c>
    </row>
    <row r="12" spans="2:4" ht="16.2" thickBot="1" x14ac:dyDescent="0.35">
      <c r="B12" s="37" t="s">
        <v>0</v>
      </c>
      <c r="C12" s="38"/>
      <c r="D12" s="21">
        <v>5</v>
      </c>
    </row>
    <row r="13" spans="2:4" ht="16.2" thickBot="1" x14ac:dyDescent="0.35">
      <c r="B13" s="37" t="s">
        <v>1</v>
      </c>
      <c r="C13" s="38"/>
      <c r="D13" s="61">
        <v>1.0789999999999999E-2</v>
      </c>
    </row>
    <row r="14" spans="2:4" ht="16.2" thickBot="1" x14ac:dyDescent="0.35">
      <c r="B14" s="39" t="s">
        <v>4</v>
      </c>
      <c r="C14" s="40"/>
      <c r="D14" s="22">
        <f>FV(D13,D12*12,-D11)</f>
        <v>16755.382799697527</v>
      </c>
    </row>
    <row r="15" spans="2:4" ht="16.2" thickBot="1" x14ac:dyDescent="0.35">
      <c r="B15" s="39" t="s">
        <v>3</v>
      </c>
      <c r="C15" s="40"/>
      <c r="D15" s="23">
        <f>D14*Rendimento_Carteira</f>
        <v>100.53229679818516</v>
      </c>
    </row>
    <row r="16" spans="2:4" ht="15" thickBot="1" x14ac:dyDescent="0.35"/>
    <row r="17" spans="1:4" x14ac:dyDescent="0.3">
      <c r="B17" s="31" t="s">
        <v>12</v>
      </c>
      <c r="C17" s="32"/>
      <c r="D17" s="29" t="s">
        <v>17</v>
      </c>
    </row>
    <row r="18" spans="1:4" ht="15" thickBot="1" x14ac:dyDescent="0.35">
      <c r="B18" s="33"/>
      <c r="C18" s="34"/>
      <c r="D18" s="30"/>
    </row>
    <row r="19" spans="1:4" ht="15.6" x14ac:dyDescent="0.3">
      <c r="A19" s="13">
        <v>2</v>
      </c>
      <c r="B19" s="45" t="s">
        <v>7</v>
      </c>
      <c r="C19" s="24">
        <f>FV($D$13,A19*12,-$D$11)</f>
        <v>5445.5254595290435</v>
      </c>
      <c r="D19" s="24">
        <f>C19*Rendimento_Carteira</f>
        <v>32.673152757174265</v>
      </c>
    </row>
    <row r="20" spans="1:4" ht="15.6" x14ac:dyDescent="0.3">
      <c r="A20" s="13">
        <v>5</v>
      </c>
      <c r="B20" s="45" t="s">
        <v>8</v>
      </c>
      <c r="C20" s="24">
        <f t="shared" ref="C20:C23" si="0">FV($D$13,A20*12,-$D$11)</f>
        <v>16755.382799697527</v>
      </c>
      <c r="D20" s="24">
        <f>C20*Rendimento_Carteira</f>
        <v>100.53229679818516</v>
      </c>
    </row>
    <row r="21" spans="1:4" ht="15.6" x14ac:dyDescent="0.3">
      <c r="A21" s="13">
        <v>10</v>
      </c>
      <c r="B21" s="45" t="s">
        <v>10</v>
      </c>
      <c r="C21" s="24">
        <f t="shared" si="0"/>
        <v>48656.842506034438</v>
      </c>
      <c r="D21" s="24">
        <f>C21*Rendimento_Carteira</f>
        <v>291.94105503620665</v>
      </c>
    </row>
    <row r="22" spans="1:4" ht="15.6" x14ac:dyDescent="0.3">
      <c r="A22" s="13">
        <v>20</v>
      </c>
      <c r="B22" s="45" t="s">
        <v>9</v>
      </c>
      <c r="C22" s="24">
        <f t="shared" si="0"/>
        <v>225039.68001941612</v>
      </c>
      <c r="D22" s="24">
        <f>C22*Rendimento_Carteira</f>
        <v>1350.2380801164968</v>
      </c>
    </row>
    <row r="23" spans="1:4" ht="15.6" x14ac:dyDescent="0.3">
      <c r="A23" s="13">
        <v>30</v>
      </c>
      <c r="B23" s="45" t="s">
        <v>11</v>
      </c>
      <c r="C23" s="24">
        <f t="shared" si="0"/>
        <v>864433.93100094295</v>
      </c>
      <c r="D23" s="24">
        <f>C23*Rendimento_Carteira</f>
        <v>5186.6035860056581</v>
      </c>
    </row>
    <row r="25" spans="1:4" ht="15" thickBot="1" x14ac:dyDescent="0.35"/>
    <row r="26" spans="1:4" ht="16.2" thickBot="1" x14ac:dyDescent="0.35">
      <c r="B26" s="57" t="s">
        <v>18</v>
      </c>
      <c r="C26" s="58"/>
      <c r="D26" s="51" t="s">
        <v>32</v>
      </c>
    </row>
    <row r="27" spans="1:4" ht="15.6" x14ac:dyDescent="0.3">
      <c r="B27" s="48" t="s">
        <v>35</v>
      </c>
      <c r="C27" s="49"/>
      <c r="D27" s="24">
        <f>$D$11</f>
        <v>200</v>
      </c>
    </row>
    <row r="29" spans="1:4" ht="15.6" x14ac:dyDescent="0.3">
      <c r="B29" s="52" t="s">
        <v>19</v>
      </c>
      <c r="C29" s="52" t="s">
        <v>27</v>
      </c>
      <c r="D29" s="52" t="s">
        <v>20</v>
      </c>
    </row>
    <row r="30" spans="1:4" x14ac:dyDescent="0.3">
      <c r="B30" s="3" t="s">
        <v>21</v>
      </c>
      <c r="C30" s="59">
        <f>VLOOKUP(($D$26&amp;"-"&amp;B30),apoio!$A$2:$D$19,4,0)</f>
        <v>0.32</v>
      </c>
      <c r="D30" s="60">
        <f>C30*$D$27</f>
        <v>64</v>
      </c>
    </row>
    <row r="31" spans="1:4" x14ac:dyDescent="0.3">
      <c r="B31" s="3" t="s">
        <v>22</v>
      </c>
      <c r="C31" s="59">
        <f>VLOOKUP(($D$26&amp;"-"&amp;B31),apoio!$A$2:$D$19,4,0)</f>
        <v>0.4</v>
      </c>
      <c r="D31" s="60">
        <f t="shared" ref="D31:D35" si="1">C31*$D$27</f>
        <v>80</v>
      </c>
    </row>
    <row r="32" spans="1:4" x14ac:dyDescent="0.3">
      <c r="B32" s="3" t="s">
        <v>23</v>
      </c>
      <c r="C32" s="59">
        <f>VLOOKUP(($D$26&amp;"-"&amp;B32),apoio!$A$2:$D$19,4,0)</f>
        <v>0.08</v>
      </c>
      <c r="D32" s="60">
        <f t="shared" si="1"/>
        <v>16</v>
      </c>
    </row>
    <row r="33" spans="2:4" x14ac:dyDescent="0.3">
      <c r="B33" s="3" t="s">
        <v>24</v>
      </c>
      <c r="C33" s="59">
        <f>VLOOKUP(($D$26&amp;"-"&amp;B33),apoio!$A$2:$D$19,4,0)</f>
        <v>0.1</v>
      </c>
      <c r="D33" s="60">
        <f t="shared" si="1"/>
        <v>20</v>
      </c>
    </row>
    <row r="34" spans="2:4" x14ac:dyDescent="0.3">
      <c r="B34" s="3" t="s">
        <v>25</v>
      </c>
      <c r="C34" s="59">
        <f>VLOOKUP(($D$26&amp;"-"&amp;B34),apoio!$A$2:$D$19,4,0)</f>
        <v>0.1</v>
      </c>
      <c r="D34" s="60">
        <f t="shared" si="1"/>
        <v>20</v>
      </c>
    </row>
    <row r="35" spans="2:4" ht="15" thickBot="1" x14ac:dyDescent="0.35">
      <c r="B35" s="62" t="s">
        <v>26</v>
      </c>
      <c r="C35" s="63">
        <f>VLOOKUP(($D$26&amp;"-"&amp;B35),apoio!$A$2:$D$19,4,0)</f>
        <v>0</v>
      </c>
      <c r="D35" s="64">
        <f t="shared" si="1"/>
        <v>0</v>
      </c>
    </row>
    <row r="36" spans="2:4" ht="16.2" thickTop="1" x14ac:dyDescent="0.3">
      <c r="B36" s="52"/>
      <c r="C36" s="52"/>
      <c r="D36" s="52">
        <f>SUM(D30:D35)</f>
        <v>200</v>
      </c>
    </row>
  </sheetData>
  <mergeCells count="15">
    <mergeCell ref="B1:D3"/>
    <mergeCell ref="B5:D5"/>
    <mergeCell ref="B10:D10"/>
    <mergeCell ref="B27:C27"/>
    <mergeCell ref="B26:C26"/>
    <mergeCell ref="B8:C8"/>
    <mergeCell ref="B11:C11"/>
    <mergeCell ref="B12:C12"/>
    <mergeCell ref="B13:C13"/>
    <mergeCell ref="B14:C14"/>
    <mergeCell ref="B15:C15"/>
    <mergeCell ref="B17:C18"/>
    <mergeCell ref="D17:D18"/>
    <mergeCell ref="B6:C6"/>
    <mergeCell ref="B7:C7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!" error="Dado incorreto" promptTitle="Perfil do Investidor" prompt="Inclua o perfil do investidor" xr:uid="{3F88A318-D45C-48C3-8790-85595662C782}">
          <x14:formula1>
            <xm:f>apoio!$J$2:$J$4</xm:f>
          </x14:formula1>
          <xm:sqref>D26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D944-C4AB-4570-BC51-05DBA4895A8D}">
  <dimension ref="A1:J19"/>
  <sheetViews>
    <sheetView topLeftCell="F1" workbookViewId="0">
      <selection activeCell="L7" sqref="L7"/>
    </sheetView>
  </sheetViews>
  <sheetFormatPr defaultRowHeight="14.4" x14ac:dyDescent="0.3"/>
  <cols>
    <col min="1" max="1" width="20" bestFit="1" customWidth="1"/>
    <col min="2" max="2" width="17.6640625" bestFit="1" customWidth="1"/>
    <col min="3" max="3" width="14" bestFit="1" customWidth="1"/>
    <col min="7" max="7" width="17.21875" bestFit="1" customWidth="1"/>
    <col min="10" max="10" width="14" bestFit="1" customWidth="1"/>
  </cols>
  <sheetData>
    <row r="1" spans="1:10" x14ac:dyDescent="0.3">
      <c r="A1" t="s">
        <v>31</v>
      </c>
      <c r="B1" t="s">
        <v>19</v>
      </c>
      <c r="C1" t="s">
        <v>28</v>
      </c>
      <c r="D1" t="s">
        <v>30</v>
      </c>
      <c r="J1" t="s">
        <v>28</v>
      </c>
    </row>
    <row r="2" spans="1:10" x14ac:dyDescent="0.3">
      <c r="A2" t="str">
        <f>C2&amp;"-"&amp;B2</f>
        <v>CONSERVADOR-PAPEL</v>
      </c>
      <c r="B2" t="s">
        <v>21</v>
      </c>
      <c r="C2" t="s">
        <v>29</v>
      </c>
      <c r="D2" s="50">
        <v>0.3</v>
      </c>
      <c r="J2" t="s">
        <v>29</v>
      </c>
    </row>
    <row r="3" spans="1:10" x14ac:dyDescent="0.3">
      <c r="A3" t="str">
        <f t="shared" ref="A3:A19" si="0">C3&amp;"-"&amp;B3</f>
        <v>CONSERVADOR-TIJOLO</v>
      </c>
      <c r="B3" t="s">
        <v>22</v>
      </c>
      <c r="C3" t="s">
        <v>29</v>
      </c>
      <c r="D3" s="50">
        <v>0.5</v>
      </c>
      <c r="J3" t="s">
        <v>32</v>
      </c>
    </row>
    <row r="4" spans="1:10" x14ac:dyDescent="0.3">
      <c r="A4" t="str">
        <f t="shared" si="0"/>
        <v>CONSERVADOR-HÍBRIDOS</v>
      </c>
      <c r="B4" t="s">
        <v>23</v>
      </c>
      <c r="C4" t="s">
        <v>29</v>
      </c>
      <c r="D4" s="50">
        <v>0.1</v>
      </c>
      <c r="H4" t="s">
        <v>30</v>
      </c>
      <c r="J4" t="s">
        <v>33</v>
      </c>
    </row>
    <row r="5" spans="1:10" x14ac:dyDescent="0.3">
      <c r="A5" t="str">
        <f t="shared" si="0"/>
        <v>CONSERVADOR-FOFs</v>
      </c>
      <c r="B5" t="s">
        <v>24</v>
      </c>
      <c r="C5" t="s">
        <v>29</v>
      </c>
      <c r="D5" s="50">
        <v>0.1</v>
      </c>
      <c r="G5" t="s">
        <v>34</v>
      </c>
      <c r="H5" s="50">
        <f>VLOOKUP(G5,A2:D19,4,0)</f>
        <v>0.3</v>
      </c>
    </row>
    <row r="6" spans="1:10" x14ac:dyDescent="0.3">
      <c r="A6" t="str">
        <f t="shared" si="0"/>
        <v>CONSERVADOR-DESENVOLVIMENTO</v>
      </c>
      <c r="B6" t="s">
        <v>25</v>
      </c>
      <c r="C6" t="s">
        <v>29</v>
      </c>
      <c r="D6" s="50">
        <v>0</v>
      </c>
    </row>
    <row r="7" spans="1:10" ht="15" thickBot="1" x14ac:dyDescent="0.35">
      <c r="A7" s="53" t="str">
        <f t="shared" si="0"/>
        <v>CONSERVADOR-HOTELARIAS</v>
      </c>
      <c r="B7" s="53" t="s">
        <v>26</v>
      </c>
      <c r="C7" s="53" t="s">
        <v>29</v>
      </c>
      <c r="D7" s="54">
        <v>0</v>
      </c>
    </row>
    <row r="8" spans="1:10" ht="15" thickTop="1" x14ac:dyDescent="0.3">
      <c r="A8" t="str">
        <f t="shared" si="0"/>
        <v>MODERADO-PAPEL</v>
      </c>
      <c r="B8" t="s">
        <v>21</v>
      </c>
      <c r="C8" t="s">
        <v>32</v>
      </c>
      <c r="D8" s="55">
        <v>0.32</v>
      </c>
    </row>
    <row r="9" spans="1:10" x14ac:dyDescent="0.3">
      <c r="A9" t="str">
        <f t="shared" si="0"/>
        <v>MODERADO-TIJOLO</v>
      </c>
      <c r="B9" t="s">
        <v>22</v>
      </c>
      <c r="C9" t="s">
        <v>32</v>
      </c>
      <c r="D9" s="55">
        <v>0.4</v>
      </c>
      <c r="F9" s="55"/>
    </row>
    <row r="10" spans="1:10" x14ac:dyDescent="0.3">
      <c r="A10" t="str">
        <f t="shared" si="0"/>
        <v>MODERADO-HÍBRIDOS</v>
      </c>
      <c r="B10" t="s">
        <v>23</v>
      </c>
      <c r="C10" t="s">
        <v>32</v>
      </c>
      <c r="D10" s="55">
        <v>0.08</v>
      </c>
    </row>
    <row r="11" spans="1:10" x14ac:dyDescent="0.3">
      <c r="A11" t="str">
        <f t="shared" si="0"/>
        <v>MODERADO-FOFs</v>
      </c>
      <c r="B11" t="s">
        <v>24</v>
      </c>
      <c r="C11" t="s">
        <v>32</v>
      </c>
      <c r="D11" s="55">
        <v>0.1</v>
      </c>
    </row>
    <row r="12" spans="1:10" x14ac:dyDescent="0.3">
      <c r="A12" t="str">
        <f t="shared" si="0"/>
        <v>MODERADO-DESENVOLVIMENTO</v>
      </c>
      <c r="B12" t="s">
        <v>25</v>
      </c>
      <c r="C12" t="s">
        <v>32</v>
      </c>
      <c r="D12" s="55">
        <v>0.1</v>
      </c>
    </row>
    <row r="13" spans="1:10" ht="15" thickBot="1" x14ac:dyDescent="0.35">
      <c r="A13" s="53" t="str">
        <f t="shared" si="0"/>
        <v>MODERADO-HOTELARIAS</v>
      </c>
      <c r="B13" s="53" t="s">
        <v>26</v>
      </c>
      <c r="C13" s="53" t="s">
        <v>32</v>
      </c>
      <c r="D13" s="56">
        <v>0</v>
      </c>
    </row>
    <row r="14" spans="1:10" ht="15" thickTop="1" x14ac:dyDescent="0.3">
      <c r="A14" t="str">
        <f t="shared" si="0"/>
        <v>AGRESSIVO-PAPEL</v>
      </c>
      <c r="B14" t="s">
        <v>21</v>
      </c>
      <c r="C14" t="s">
        <v>33</v>
      </c>
      <c r="D14" s="55">
        <v>0.5</v>
      </c>
    </row>
    <row r="15" spans="1:10" x14ac:dyDescent="0.3">
      <c r="A15" t="str">
        <f t="shared" si="0"/>
        <v>AGRESSIVO-TIJOLO</v>
      </c>
      <c r="B15" t="s">
        <v>22</v>
      </c>
      <c r="C15" t="s">
        <v>33</v>
      </c>
      <c r="D15" s="55">
        <v>0.1</v>
      </c>
    </row>
    <row r="16" spans="1:10" x14ac:dyDescent="0.3">
      <c r="A16" t="str">
        <f t="shared" si="0"/>
        <v>AGRESSIVO-HÍBRIDOS</v>
      </c>
      <c r="B16" t="s">
        <v>23</v>
      </c>
      <c r="C16" t="s">
        <v>33</v>
      </c>
      <c r="D16" s="55">
        <v>0.05</v>
      </c>
    </row>
    <row r="17" spans="1:4" x14ac:dyDescent="0.3">
      <c r="A17" t="str">
        <f t="shared" si="0"/>
        <v>AGRESSIVO-FOFs</v>
      </c>
      <c r="B17" t="s">
        <v>24</v>
      </c>
      <c r="C17" t="s">
        <v>33</v>
      </c>
      <c r="D17" s="55">
        <v>0.05</v>
      </c>
    </row>
    <row r="18" spans="1:4" x14ac:dyDescent="0.3">
      <c r="A18" t="str">
        <f t="shared" si="0"/>
        <v>AGRESSIVO-DESENVOLVIMENTO</v>
      </c>
      <c r="B18" t="s">
        <v>25</v>
      </c>
      <c r="C18" t="s">
        <v>33</v>
      </c>
      <c r="D18" s="55">
        <v>0.2</v>
      </c>
    </row>
    <row r="19" spans="1:4" x14ac:dyDescent="0.3">
      <c r="A19" t="str">
        <f t="shared" si="0"/>
        <v>AGRESSIVO-HOTELARIAS</v>
      </c>
      <c r="B19" t="s">
        <v>26</v>
      </c>
      <c r="C19" t="s">
        <v>33</v>
      </c>
      <c r="D19" s="5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Perguntas</vt:lpstr>
      <vt:lpstr>INVESTIMENTO</vt:lpstr>
      <vt:lpstr>apoio</vt:lpstr>
      <vt:lpstr>Patrimonio</vt:lpstr>
      <vt:lpstr>Rendimento_Carteira</vt:lpstr>
      <vt:lpstr>Salario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Scarpa</dc:creator>
  <cp:lastModifiedBy>Raul Scarpa</cp:lastModifiedBy>
  <dcterms:created xsi:type="dcterms:W3CDTF">2026-02-15T19:55:28Z</dcterms:created>
  <dcterms:modified xsi:type="dcterms:W3CDTF">2026-02-15T21:03:46Z</dcterms:modified>
</cp:coreProperties>
</file>